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brahimasadullah/Documents/Churning App/"/>
    </mc:Choice>
  </mc:AlternateContent>
  <xr:revisionPtr revIDLastSave="0" documentId="13_ncr:1_{F6F79305-3C4A-AD4F-A911-BF962332E20C}" xr6:coauthVersionLast="47" xr6:coauthVersionMax="47" xr10:uidLastSave="{00000000-0000-0000-0000-000000000000}"/>
  <bookViews>
    <workbookView xWindow="0" yWindow="800" windowWidth="34200" windowHeight="21440" xr2:uid="{35CF2610-E490-486A-8010-D540180AF784}"/>
  </bookViews>
  <sheets>
    <sheet name="Ibrahi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" i="1" l="1"/>
  <c r="E63" i="1"/>
  <c r="E87" i="1"/>
  <c r="E92" i="1"/>
  <c r="E100" i="1"/>
  <c r="E99" i="1"/>
  <c r="E91" i="1"/>
  <c r="E72" i="1"/>
  <c r="E73" i="1"/>
  <c r="E109" i="1"/>
  <c r="E81" i="1"/>
  <c r="E103" i="1"/>
  <c r="E96" i="1"/>
  <c r="E55" i="1"/>
  <c r="E56" i="1"/>
  <c r="E57" i="1"/>
  <c r="E58" i="1"/>
  <c r="G56" i="1"/>
  <c r="G111" i="1" s="1"/>
  <c r="D39" i="1"/>
  <c r="D42" i="1"/>
  <c r="E38" i="1"/>
  <c r="D23" i="1"/>
  <c r="D22" i="1"/>
  <c r="E21" i="1"/>
  <c r="H6" i="1"/>
  <c r="E20" i="1"/>
  <c r="E16" i="1"/>
  <c r="E17" i="1"/>
  <c r="E84" i="1"/>
  <c r="E106" i="1"/>
  <c r="E77" i="1"/>
  <c r="D48" i="1"/>
  <c r="E37" i="1"/>
  <c r="E64" i="1"/>
  <c r="L4" i="1"/>
  <c r="L36" i="1"/>
  <c r="L30" i="1"/>
  <c r="L17" i="1"/>
  <c r="L16" i="1"/>
  <c r="E53" i="1"/>
  <c r="E36" i="1"/>
  <c r="F47" i="1"/>
  <c r="E30" i="1"/>
  <c r="B127" i="1"/>
  <c r="B128" i="1" s="1"/>
  <c r="B129" i="1" s="1"/>
  <c r="B130" i="1" s="1"/>
  <c r="B131" i="1" s="1"/>
  <c r="B132" i="1" s="1"/>
  <c r="B133" i="1" s="1"/>
  <c r="B134" i="1" s="1"/>
  <c r="B135" i="1" s="1"/>
  <c r="E114" i="1"/>
  <c r="F114" i="1" s="1"/>
  <c r="E19" i="1"/>
  <c r="E18" i="1"/>
  <c r="E54" i="1"/>
  <c r="G47" i="1"/>
  <c r="E90" i="1"/>
  <c r="E78" i="1"/>
  <c r="E76" i="1"/>
  <c r="E79" i="1"/>
  <c r="F111" i="1"/>
  <c r="F112" i="1" s="1"/>
  <c r="J122" i="1"/>
  <c r="J118" i="1"/>
  <c r="J50" i="1"/>
  <c r="J13" i="1"/>
  <c r="F8" i="1" l="1"/>
  <c r="F48" i="1"/>
  <c r="F9" i="1"/>
  <c r="E47" i="1"/>
  <c r="E111" i="1"/>
  <c r="E115" i="1"/>
  <c r="E116" i="1" l="1"/>
  <c r="F116" i="1" s="1"/>
  <c r="F1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Hassan Khokhar</author>
  </authors>
  <commentList>
    <comment ref="G72" authorId="0" shapeId="0" xr:uid="{1750B496-4ACF-426D-9CEF-4B3D10B32AE3}">
      <text>
        <r>
          <rPr>
            <b/>
            <sz val="9"/>
            <color indexed="81"/>
            <rFont val="Tahoma"/>
            <family val="2"/>
          </rPr>
          <t>Hassan Khokhar:</t>
        </r>
        <r>
          <rPr>
            <sz val="9"/>
            <color indexed="81"/>
            <rFont val="Tahoma"/>
            <family val="2"/>
          </rPr>
          <t xml:space="preserve">
FYF
139 after</t>
        </r>
      </text>
    </comment>
    <comment ref="G80" authorId="0" shapeId="0" xr:uid="{53B09BB4-0FD8-4829-9A3D-407F274A5CC1}">
      <text>
        <r>
          <rPr>
            <b/>
            <sz val="9"/>
            <color indexed="81"/>
            <rFont val="Tahoma"/>
            <family val="2"/>
          </rPr>
          <t>Hassan Khokhar:</t>
        </r>
        <r>
          <rPr>
            <sz val="9"/>
            <color indexed="81"/>
            <rFont val="Tahoma"/>
            <family val="2"/>
          </rPr>
          <t xml:space="preserve">
FYF
89 after</t>
        </r>
      </text>
    </comment>
  </commentList>
</comments>
</file>

<file path=xl/sharedStrings.xml><?xml version="1.0" encoding="utf-8"?>
<sst xmlns="http://schemas.openxmlformats.org/spreadsheetml/2006/main" count="172" uniqueCount="153">
  <si>
    <t>Card</t>
  </si>
  <si>
    <t>Tradeline History</t>
  </si>
  <si>
    <t>Credit Limit</t>
  </si>
  <si>
    <t>Next Steps</t>
  </si>
  <si>
    <t>Credits</t>
  </si>
  <si>
    <t>Annual Fee</t>
  </si>
  <si>
    <t>Platinum Travel</t>
  </si>
  <si>
    <t>Rose Gold</t>
  </si>
  <si>
    <t>Tangerine</t>
  </si>
  <si>
    <t>Bank of Montreal</t>
  </si>
  <si>
    <t>TD Canada Trust</t>
  </si>
  <si>
    <t>CIBC</t>
  </si>
  <si>
    <t>Amex Canada</t>
  </si>
  <si>
    <t>MBNA</t>
  </si>
  <si>
    <t>US</t>
  </si>
  <si>
    <t>Canada</t>
  </si>
  <si>
    <t>Amex US</t>
  </si>
  <si>
    <t>Hilton Honors</t>
  </si>
  <si>
    <t>Australia</t>
  </si>
  <si>
    <t>Amex AU</t>
  </si>
  <si>
    <t>Qantas</t>
  </si>
  <si>
    <t>UK</t>
  </si>
  <si>
    <t>Amex UK</t>
  </si>
  <si>
    <t>Rewards</t>
  </si>
  <si>
    <t>• Monitor UK scene post Brexit
• Keeper - Oldest card in UK history</t>
  </si>
  <si>
    <t>Total Canada</t>
  </si>
  <si>
    <t>Multiple of Income</t>
  </si>
  <si>
    <t>Last Updated / Analysis Date</t>
  </si>
  <si>
    <t>Opened</t>
  </si>
  <si>
    <t>Age</t>
  </si>
  <si>
    <t>Bonvoy Biz</t>
  </si>
  <si>
    <t>Hilton Biz</t>
  </si>
  <si>
    <t>Chase</t>
  </si>
  <si>
    <t>USD/CAD FX</t>
  </si>
  <si>
    <t>[Ink Biz Card]</t>
  </si>
  <si>
    <t>[Alaska Biz]</t>
  </si>
  <si>
    <t>Aventura Gold</t>
  </si>
  <si>
    <t>Cashback Mastercard</t>
  </si>
  <si>
    <t>Biz Plat</t>
  </si>
  <si>
    <t>Balance</t>
  </si>
  <si>
    <t>Blue Biz Plus</t>
  </si>
  <si>
    <t>- Full cycle (Avion, WJ, Cathay); cancelled July 7, 23</t>
  </si>
  <si>
    <t>- Cancelled on June 8, 2023</t>
  </si>
  <si>
    <t>Hassan To-Do</t>
  </si>
  <si>
    <t>- Cancelled on August 2, 2023</t>
  </si>
  <si>
    <t>Bank of America</t>
  </si>
  <si>
    <t>Capital One</t>
  </si>
  <si>
    <t>Bilt // Wells Fargo</t>
  </si>
  <si>
    <t>Bilt Rewards Mastercard</t>
  </si>
  <si>
    <t>[Venture/VentureX]</t>
  </si>
  <si>
    <t>Royal Bank of Canada</t>
  </si>
  <si>
    <t>- Cancelled Gold on April 10th, 2023</t>
  </si>
  <si>
    <t>- Keeper - Oldest US card &amp; NLL upgrade to Aspire</t>
  </si>
  <si>
    <t>- Bilt rent setup via PayPal &amp; Helcim restaurant</t>
  </si>
  <si>
    <t>- [Jul-24]: Closed after one year</t>
  </si>
  <si>
    <t>Total US</t>
  </si>
  <si>
    <t>- Full cycle (Avion, WJ, Cathay); cancelled August 18, 23</t>
  </si>
  <si>
    <t>Saphire Preferred</t>
  </si>
  <si>
    <t>- Keeper - UR store</t>
  </si>
  <si>
    <t>- Full cycle (Avion, WJ, Cathay); cancelled October 4, 23</t>
  </si>
  <si>
    <t>- Online application once credit history hits 1 yr.</t>
  </si>
  <si>
    <t>• Closed</t>
  </si>
  <si>
    <t>Biz AP</t>
  </si>
  <si>
    <t>• [09-Jun-22] Opened as Biz AP (per email timestamps)
• [12-Aug-22] PS: Biz AP &gt;&gt;&gt; Biz Travel
• [21-Nov-22] PS: Biz Travel &gt;&gt;&gt; Biz Cashback
• [23-May-23] PS: Biz Cashback &gt;&gt;&gt; Biz Travel
• [12-Dec-23] PS: Biz Travel &gt;&gt;&gt; Biz AP</t>
  </si>
  <si>
    <t>- PS to Biz Travel in May 2024</t>
  </si>
  <si>
    <t>5/24</t>
  </si>
  <si>
    <t>Chase 5/24 Status</t>
  </si>
  <si>
    <t>US Credit History Length</t>
  </si>
  <si>
    <t>[Bonvoy Bevy]</t>
  </si>
  <si>
    <t>[Bonvoy Brilliant]</t>
  </si>
  <si>
    <t>Ink Preferred</t>
  </si>
  <si>
    <t>Total Limits</t>
  </si>
  <si>
    <t>FCT</t>
  </si>
  <si>
    <t>- [04-Mar-22] PS: Cash Back VI &gt;&gt;&gt; AP VIP
- [27-Apr-22] PS: AP VIP &gt;&gt;&gt; FCT
- [01-Apr-23] PS: FCT &gt;&gt;&gt; AP VI
- [21-Jul-23] PS: AP VI &gt;&gt;&gt; NF CB
- [06-Oct-23] PS: NF Cash Back &gt;&gt;&gt; Plat Travel
- [05-Apr-24] Plat Travel &gt;&gt;&gt; FCT</t>
  </si>
  <si>
    <t>- Full cycle (Avion, WJ, Cathay); cancelled April 15, 24</t>
  </si>
  <si>
    <t>- Closed as Gold on April 29th. 2024</t>
  </si>
  <si>
    <r>
      <rPr>
        <b/>
        <sz val="10"/>
        <color theme="1"/>
        <rFont val="Arial"/>
        <family val="2"/>
      </rPr>
      <t>- Keeper - 2nd Oldest card in credit stack</t>
    </r>
    <r>
      <rPr>
        <sz val="10"/>
        <color theme="1"/>
        <rFont val="Arial"/>
        <family val="2"/>
      </rPr>
      <t xml:space="preserve">
- PS to AP VI in end of July 2024</t>
    </r>
  </si>
  <si>
    <t>Brim Financial</t>
  </si>
  <si>
    <t>- Downgraded to Honors card 05/04/2024</t>
  </si>
  <si>
    <t>AF Flying Blue</t>
  </si>
  <si>
    <t>• Need to keep card for 2nd yr for full SUB</t>
  </si>
  <si>
    <t>Min</t>
  </si>
  <si>
    <t>Utilization</t>
  </si>
  <si>
    <t>Monthly Balance Range</t>
  </si>
  <si>
    <t>Mid</t>
  </si>
  <si>
    <t>- Consider closing (Biz Plat and MR checking can store MR points)</t>
  </si>
  <si>
    <t>n.a.</t>
  </si>
  <si>
    <t>Citi</t>
  </si>
  <si>
    <t>[Biz AA]</t>
  </si>
  <si>
    <t>Biz Plat (via Biz Gold upgrade)</t>
  </si>
  <si>
    <t>- ABP upgrade on June 7th, 2024
- 5 ECs on June 26th, 2024</t>
  </si>
  <si>
    <t>- 5 ECs on June 26th, 2024</t>
  </si>
  <si>
    <t>[Biz Plat]</t>
  </si>
  <si>
    <t>[Biz Gold]</t>
  </si>
  <si>
    <t>- Closed on June 11th, 2024</t>
  </si>
  <si>
    <t>- Niagara trip or Orlando trip</t>
  </si>
  <si>
    <t>[Delta Gold Biz]</t>
  </si>
  <si>
    <t>- 75k miles for $6k MSR offer till July 17th, 2024</t>
  </si>
  <si>
    <t>- [05-Jun-24] AP VP &gt;&gt;&gt; FCT</t>
  </si>
  <si>
    <t>Credit Card Master Tracker - Ibrahim</t>
  </si>
  <si>
    <t>799-200</t>
  </si>
  <si>
    <t>Welcome bonus</t>
  </si>
  <si>
    <t>599x2 years</t>
  </si>
  <si>
    <t xml:space="preserve">2nd year: no points. </t>
  </si>
  <si>
    <t xml:space="preserve">Call on Aug 15 and cancel card. Move MR points to another card.  Transfer credit limit to another card. </t>
  </si>
  <si>
    <t>Plat x01009</t>
  </si>
  <si>
    <t>Amex Aeroplan Reserve x01001</t>
  </si>
  <si>
    <t>Cobalt x21004</t>
  </si>
  <si>
    <t>Biz Gold x31004 (ibramarket)</t>
  </si>
  <si>
    <t>Biz Edge x81003 (ibramarket)</t>
  </si>
  <si>
    <t>CLOSED</t>
  </si>
  <si>
    <t>$200 travel credit</t>
  </si>
  <si>
    <t>[Jul-19] received $200 annual travel credit</t>
  </si>
  <si>
    <t xml:space="preserve">[Jul-'25] Close after one year. </t>
  </si>
  <si>
    <t xml:space="preserve">Biz Plat x41000 (1000938553 Ont Inc) </t>
  </si>
  <si>
    <t>Keeper</t>
  </si>
  <si>
    <t xml:space="preserve">[Jun-'25] Close after one year. </t>
  </si>
  <si>
    <t>World Mastercard x2952</t>
  </si>
  <si>
    <t>Keeper - MS closed loop</t>
  </si>
  <si>
    <t>Simplii</t>
  </si>
  <si>
    <t>Cash Back Visa Card x3493</t>
  </si>
  <si>
    <t>WestJet World Elite MC x9896</t>
  </si>
  <si>
    <t xml:space="preserve">what is my gameplan flow here? </t>
  </si>
  <si>
    <t>Home Trust</t>
  </si>
  <si>
    <t>Home Trust Visa x5021</t>
  </si>
  <si>
    <t>First Class Travel</t>
  </si>
  <si>
    <t>[14-Jun-24] AP VI -&gt; FCT</t>
  </si>
  <si>
    <t>[13-Dec-24] PS into TD AP VI</t>
  </si>
  <si>
    <t>BMO Rewards MC x6241</t>
  </si>
  <si>
    <t>--</t>
  </si>
  <si>
    <t>Walmart</t>
  </si>
  <si>
    <t>Walmart Rewards MC x7908</t>
  </si>
  <si>
    <t>reduce credit limit to $250</t>
  </si>
  <si>
    <t>Line of Credit x9336</t>
  </si>
  <si>
    <t>Keeper - credit diversity</t>
  </si>
  <si>
    <t>Student LOC</t>
  </si>
  <si>
    <t>Keeper for one more year RE: Osgoode bursary</t>
  </si>
  <si>
    <t>Student LOC x150</t>
  </si>
  <si>
    <t>Scotiabank</t>
  </si>
  <si>
    <t>ScotiaLine LOC x1017</t>
  </si>
  <si>
    <t>Scotia Passport VI</t>
  </si>
  <si>
    <t>figure out tradeline history.</t>
  </si>
  <si>
    <t>Keeper - oldest card</t>
  </si>
  <si>
    <t>Aventura x9304</t>
  </si>
  <si>
    <t>-</t>
  </si>
  <si>
    <t>Closed as of 2024-05-02</t>
  </si>
  <si>
    <t>Personal LOC x242</t>
  </si>
  <si>
    <t>Amazon Rewards MBNA MC x0404</t>
  </si>
  <si>
    <t>Consider cancelling or PSing into a different product.</t>
  </si>
  <si>
    <t>RBC ION Visa x0810</t>
  </si>
  <si>
    <t xml:space="preserve">gameplan flow? Clarify it. </t>
  </si>
  <si>
    <t>BMO credit card x9338</t>
  </si>
  <si>
    <t>what is this card?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</si>
</sst>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#;\(#,###\);\-\-"/>
    <numFmt numFmtId="165" formatCode="#,###.0000;\(#,###.0000\);\-\-"/>
    <numFmt numFmtId="166" formatCode="#,##0.0&quot;x&quot;"/>
    <numFmt numFmtId="167" formatCode="#,##0.0;\(#,##0.0\);\-\-"/>
    <numFmt numFmtId="168" formatCode="#,##0.00;\(#,##0.00\);\-\-"/>
  </numFmts>
  <fonts count="1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FF"/>
      <name val="Arial"/>
      <family val="2"/>
    </font>
    <font>
      <sz val="10"/>
      <color rgb="FF800000"/>
      <name val="Arial"/>
      <family val="2"/>
    </font>
    <font>
      <i/>
      <sz val="10"/>
      <color theme="1"/>
      <name val="Arial"/>
      <family val="2"/>
    </font>
    <font>
      <i/>
      <sz val="10"/>
      <color rgb="FF0000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9"/>
      <color theme="1"/>
      <name val="Arial"/>
      <family val="2"/>
    </font>
    <font>
      <b/>
      <sz val="10"/>
      <color rgb="FF000000"/>
      <name val="Arial"/>
      <family val="2"/>
    </font>
    <font>
      <b/>
      <i/>
      <u/>
      <sz val="10"/>
      <color theme="1"/>
      <name val="Arial"/>
      <family val="2"/>
    </font>
    <font>
      <i/>
      <strike/>
      <sz val="9"/>
      <color theme="1"/>
      <name val="Arial"/>
      <family val="2"/>
    </font>
    <font>
      <b/>
      <u/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4" xfId="0" applyBorder="1" applyAlignment="1">
      <alignment horizontal="left" vertical="center"/>
    </xf>
    <xf numFmtId="15" fontId="7" fillId="0" borderId="5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5" fontId="7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0" fillId="0" borderId="5" xfId="0" quotePrefix="1" applyBorder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164" fontId="0" fillId="0" borderId="0" xfId="0" applyNumberFormat="1" applyAlignment="1">
      <alignment horizontal="center" vertical="center"/>
    </xf>
    <xf numFmtId="0" fontId="1" fillId="9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 wrapText="1"/>
    </xf>
    <xf numFmtId="0" fontId="0" fillId="9" borderId="0" xfId="0" applyFill="1" applyAlignment="1">
      <alignment vertical="center"/>
    </xf>
    <xf numFmtId="0" fontId="0" fillId="0" borderId="0" xfId="0" quotePrefix="1" applyAlignment="1">
      <alignment vertical="center"/>
    </xf>
    <xf numFmtId="0" fontId="0" fillId="6" borderId="0" xfId="0" applyFill="1" applyAlignment="1">
      <alignment horizontal="left" vertical="center"/>
    </xf>
    <xf numFmtId="15" fontId="7" fillId="6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15" fontId="7" fillId="7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5" fontId="8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quotePrefix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" fillId="8" borderId="2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/>
    </xf>
    <xf numFmtId="0" fontId="9" fillId="8" borderId="0" xfId="0" applyFont="1" applyFill="1" applyAlignment="1">
      <alignment horizontal="left" vertical="center"/>
    </xf>
    <xf numFmtId="164" fontId="10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66" fontId="12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15" fontId="1" fillId="8" borderId="2" xfId="0" applyNumberFormat="1" applyFont="1" applyFill="1" applyBorder="1" applyAlignment="1">
      <alignment horizontal="center" vertical="center"/>
    </xf>
    <xf numFmtId="167" fontId="1" fillId="8" borderId="2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" fontId="2" fillId="0" borderId="0" xfId="0" quotePrefix="1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quotePrefix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9" fontId="11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5" fontId="0" fillId="0" borderId="0" xfId="0" applyNumberFormat="1" applyAlignment="1">
      <alignment vertical="center" wrapText="1"/>
    </xf>
    <xf numFmtId="0" fontId="8" fillId="0" borderId="0" xfId="0" quotePrefix="1" applyFont="1" applyAlignment="1">
      <alignment vertical="center"/>
    </xf>
    <xf numFmtId="0" fontId="1" fillId="8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left" vertical="center"/>
    </xf>
    <xf numFmtId="15" fontId="7" fillId="10" borderId="0" xfId="0" applyNumberFormat="1" applyFont="1" applyFill="1" applyAlignment="1">
      <alignment horizontal="center" vertical="center"/>
    </xf>
    <xf numFmtId="167" fontId="11" fillId="10" borderId="0" xfId="0" applyNumberFormat="1" applyFont="1" applyFill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/>
    </xf>
    <xf numFmtId="0" fontId="0" fillId="10" borderId="0" xfId="0" applyFill="1" applyAlignment="1">
      <alignment vertical="center" wrapText="1"/>
    </xf>
    <xf numFmtId="0" fontId="0" fillId="10" borderId="0" xfId="0" quotePrefix="1" applyFill="1" applyAlignment="1">
      <alignment vertical="center" wrapText="1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left" vertical="center"/>
    </xf>
    <xf numFmtId="15" fontId="7" fillId="11" borderId="0" xfId="0" applyNumberFormat="1" applyFont="1" applyFill="1" applyAlignment="1">
      <alignment horizontal="center" vertical="center"/>
    </xf>
    <xf numFmtId="164" fontId="7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vertical="center" wrapText="1"/>
    </xf>
    <xf numFmtId="0" fontId="0" fillId="11" borderId="0" xfId="0" quotePrefix="1" applyFill="1" applyAlignment="1">
      <alignment vertical="center" wrapText="1"/>
    </xf>
    <xf numFmtId="0" fontId="0" fillId="11" borderId="0" xfId="0" quotePrefix="1" applyFill="1" applyAlignment="1">
      <alignment vertical="center"/>
    </xf>
    <xf numFmtId="0" fontId="0" fillId="11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12" borderId="0" xfId="0" quotePrefix="1" applyFill="1" applyAlignment="1">
      <alignment vertical="center" wrapText="1"/>
    </xf>
    <xf numFmtId="0" fontId="14" fillId="13" borderId="0" xfId="0" applyFont="1" applyFill="1" applyAlignment="1">
      <alignment vertical="center"/>
    </xf>
    <xf numFmtId="2" fontId="11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3" borderId="0" xfId="0" applyFont="1" applyFill="1" applyAlignment="1">
      <alignment vertical="center" wrapText="1"/>
    </xf>
    <xf numFmtId="0" fontId="11" fillId="13" borderId="0" xfId="0" applyFont="1" applyFill="1" applyAlignment="1">
      <alignment vertical="center"/>
    </xf>
    <xf numFmtId="0" fontId="11" fillId="12" borderId="0" xfId="0" applyFont="1" applyFill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0" fillId="12" borderId="0" xfId="0" applyFill="1" applyAlignment="1">
      <alignment vertical="center" wrapText="1"/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left" vertical="center"/>
    </xf>
    <xf numFmtId="15" fontId="7" fillId="12" borderId="0" xfId="0" applyNumberFormat="1" applyFont="1" applyFill="1" applyAlignment="1">
      <alignment horizontal="center" vertical="center"/>
    </xf>
    <xf numFmtId="167" fontId="11" fillId="12" borderId="5" xfId="0" applyNumberFormat="1" applyFont="1" applyFill="1" applyBorder="1" applyAlignment="1">
      <alignment horizontal="center" vertical="center"/>
    </xf>
    <xf numFmtId="164" fontId="7" fillId="12" borderId="0" xfId="0" applyNumberFormat="1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  <color rgb="FFF0F0F0"/>
      <color rgb="FF000000"/>
      <color rgb="FF0000FF"/>
      <color rgb="FFFFFFD2"/>
      <color rgb="FFFF0000"/>
      <color rgb="FF960000"/>
      <color rgb="FFEDEDED"/>
      <color rgb="FFDDEBF7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ABBE-31D0-4883-85C4-60F8FFAF7ACD}">
  <dimension ref="B4:L135"/>
  <sheetViews>
    <sheetView showGridLines="0" tabSelected="1" zoomScale="90" zoomScaleNormal="90" workbookViewId="0">
      <selection activeCell="D71" sqref="D71"/>
    </sheetView>
  </sheetViews>
  <sheetFormatPr baseColWidth="10" defaultColWidth="8.83203125" defaultRowHeight="15" customHeight="1" outlineLevelRow="2" x14ac:dyDescent="0.15"/>
  <cols>
    <col min="1" max="1" width="4.6640625" style="15" customWidth="1"/>
    <col min="2" max="2" width="2.6640625" style="15" customWidth="1"/>
    <col min="3" max="3" width="32.1640625" style="15" bestFit="1" customWidth="1"/>
    <col min="4" max="6" width="10.5" style="16" customWidth="1"/>
    <col min="7" max="7" width="12.6640625" style="16" customWidth="1"/>
    <col min="8" max="8" width="60.5" style="11" customWidth="1"/>
    <col min="9" max="9" width="82.33203125" style="11" bestFit="1" customWidth="1"/>
    <col min="10" max="10" width="36.1640625" style="15" bestFit="1" customWidth="1"/>
    <col min="11" max="11" width="26.5" style="15" customWidth="1"/>
    <col min="12" max="12" width="8.83203125" style="16"/>
    <col min="13" max="16384" width="8.83203125" style="15"/>
  </cols>
  <sheetData>
    <row r="4" spans="2:12" ht="15" customHeight="1" x14ac:dyDescent="0.15">
      <c r="B4" s="12" t="s">
        <v>99</v>
      </c>
      <c r="C4" s="12"/>
      <c r="D4" s="13"/>
      <c r="E4" s="13"/>
      <c r="F4" s="13"/>
      <c r="G4" s="13"/>
      <c r="H4" s="14"/>
      <c r="I4" s="14"/>
      <c r="J4" s="12"/>
      <c r="K4" s="12"/>
      <c r="L4" s="13" t="str">
        <f>" "</f>
        <v xml:space="preserve"> </v>
      </c>
    </row>
    <row r="6" spans="2:12" ht="15" customHeight="1" x14ac:dyDescent="0.15">
      <c r="C6" s="17" t="s">
        <v>27</v>
      </c>
      <c r="D6" s="18"/>
      <c r="E6" s="18"/>
      <c r="F6" s="19">
        <v>45494</v>
      </c>
      <c r="G6" s="67"/>
      <c r="H6" s="11">
        <f>750</f>
        <v>750</v>
      </c>
    </row>
    <row r="7" spans="2:12" ht="15" customHeight="1" x14ac:dyDescent="0.15">
      <c r="C7" s="17" t="s">
        <v>33</v>
      </c>
      <c r="D7" s="18"/>
      <c r="E7" s="18"/>
      <c r="F7" s="20">
        <v>1.35</v>
      </c>
      <c r="H7" s="10"/>
    </row>
    <row r="8" spans="2:12" ht="15" customHeight="1" x14ac:dyDescent="0.15">
      <c r="C8" s="17" t="s">
        <v>66</v>
      </c>
      <c r="D8" s="18"/>
      <c r="E8" s="18"/>
      <c r="F8" s="18">
        <f>SUM(L:L)</f>
        <v>4</v>
      </c>
      <c r="H8" s="10"/>
    </row>
    <row r="9" spans="2:12" ht="15" customHeight="1" x14ac:dyDescent="0.15">
      <c r="C9" s="17" t="s">
        <v>67</v>
      </c>
      <c r="D9" s="18"/>
      <c r="E9" s="18"/>
      <c r="F9" s="69">
        <f>MAX(E16:E45)</f>
        <v>1.8388888888888888</v>
      </c>
      <c r="H9" s="10"/>
    </row>
    <row r="10" spans="2:12" ht="15" customHeight="1" x14ac:dyDescent="0.15">
      <c r="J10" s="21"/>
      <c r="K10" s="21"/>
      <c r="L10" s="18" t="s">
        <v>32</v>
      </c>
    </row>
    <row r="11" spans="2:12" ht="15" customHeight="1" x14ac:dyDescent="0.15">
      <c r="C11" s="21" t="s">
        <v>0</v>
      </c>
      <c r="D11" s="22" t="s">
        <v>28</v>
      </c>
      <c r="E11" s="22" t="s">
        <v>29</v>
      </c>
      <c r="F11" s="22" t="s">
        <v>2</v>
      </c>
      <c r="G11" s="22" t="s">
        <v>5</v>
      </c>
      <c r="H11" s="23" t="s">
        <v>1</v>
      </c>
      <c r="I11" s="23" t="s">
        <v>3</v>
      </c>
      <c r="J11" s="22" t="s">
        <v>4</v>
      </c>
      <c r="K11" s="22" t="s">
        <v>101</v>
      </c>
      <c r="L11" s="68" t="s">
        <v>65</v>
      </c>
    </row>
    <row r="13" spans="2:12" ht="15" customHeight="1" x14ac:dyDescent="0.15">
      <c r="C13" s="24" t="s">
        <v>14</v>
      </c>
      <c r="D13" s="25"/>
      <c r="E13" s="25"/>
      <c r="F13" s="25"/>
      <c r="G13" s="25"/>
      <c r="H13" s="26"/>
      <c r="I13" s="26"/>
      <c r="J13" s="24" t="str">
        <f>" "</f>
        <v xml:space="preserve"> </v>
      </c>
      <c r="K13" s="24"/>
    </row>
    <row r="14" spans="2:12" ht="15" hidden="1" customHeight="1" outlineLevel="1" x14ac:dyDescent="0.15">
      <c r="C14" s="5"/>
      <c r="F14" s="27"/>
      <c r="G14" s="27"/>
      <c r="H14" s="83"/>
      <c r="I14" s="83"/>
    </row>
    <row r="15" spans="2:12" ht="15" hidden="1" customHeight="1" outlineLevel="1" x14ac:dyDescent="0.15">
      <c r="C15" s="28" t="s">
        <v>16</v>
      </c>
      <c r="D15" s="29"/>
      <c r="E15" s="29"/>
      <c r="F15" s="30"/>
      <c r="G15" s="30"/>
      <c r="H15" s="31"/>
      <c r="I15" s="31"/>
      <c r="J15" s="32"/>
      <c r="K15" s="32"/>
    </row>
    <row r="16" spans="2:12" ht="15" hidden="1" customHeight="1" outlineLevel="1" x14ac:dyDescent="0.15">
      <c r="C16" s="5" t="s">
        <v>17</v>
      </c>
      <c r="D16" s="6">
        <v>44832</v>
      </c>
      <c r="E16" s="7">
        <f t="shared" ref="E16:E18" si="0">($F$6-D16)/30/12</f>
        <v>1.8388888888888888</v>
      </c>
      <c r="F16" s="8">
        <v>5000</v>
      </c>
      <c r="G16" s="8">
        <v>0</v>
      </c>
      <c r="H16" s="10"/>
      <c r="I16" s="10" t="s">
        <v>52</v>
      </c>
      <c r="L16" s="16">
        <f>1*(D16&gt;=EDATE($F$6,-24))</f>
        <v>1</v>
      </c>
    </row>
    <row r="17" spans="3:12" ht="15" hidden="1" customHeight="1" outlineLevel="1" x14ac:dyDescent="0.15">
      <c r="C17" s="5" t="s">
        <v>17</v>
      </c>
      <c r="D17" s="6">
        <v>44988</v>
      </c>
      <c r="E17" s="7">
        <f t="shared" si="0"/>
        <v>1.4055555555555557</v>
      </c>
      <c r="F17" s="8">
        <v>4000</v>
      </c>
      <c r="G17" s="8">
        <v>0</v>
      </c>
      <c r="H17" s="10"/>
      <c r="I17" s="10" t="s">
        <v>78</v>
      </c>
      <c r="J17" s="33"/>
      <c r="K17" s="33"/>
      <c r="L17" s="16">
        <f>1*(D17&gt;=EDATE($F$6,-24))</f>
        <v>1</v>
      </c>
    </row>
    <row r="18" spans="3:12" ht="15" hidden="1" customHeight="1" outlineLevel="1" x14ac:dyDescent="0.15">
      <c r="C18" s="5" t="s">
        <v>31</v>
      </c>
      <c r="D18" s="6">
        <v>45083</v>
      </c>
      <c r="E18" s="7">
        <f t="shared" si="0"/>
        <v>1.1416666666666666</v>
      </c>
      <c r="F18" s="8">
        <v>10000</v>
      </c>
      <c r="G18" s="8">
        <v>95</v>
      </c>
      <c r="H18" s="10"/>
      <c r="I18" s="10" t="s">
        <v>54</v>
      </c>
    </row>
    <row r="19" spans="3:12" ht="15" hidden="1" customHeight="1" outlineLevel="1" x14ac:dyDescent="0.15">
      <c r="C19" s="5" t="s">
        <v>40</v>
      </c>
      <c r="D19" s="6">
        <v>45083</v>
      </c>
      <c r="E19" s="7">
        <f t="shared" ref="E19" si="1">($F$6-D19)/30/12</f>
        <v>1.1416666666666666</v>
      </c>
      <c r="F19" s="8">
        <v>10000</v>
      </c>
      <c r="G19" s="8">
        <v>0</v>
      </c>
      <c r="H19" s="10"/>
      <c r="I19" s="10" t="s">
        <v>85</v>
      </c>
    </row>
    <row r="20" spans="3:12" ht="14" hidden="1" outlineLevel="1" x14ac:dyDescent="0.15">
      <c r="C20" s="5" t="s">
        <v>38</v>
      </c>
      <c r="D20" s="6">
        <v>45444</v>
      </c>
      <c r="E20" s="7">
        <f>($F$6-D20)/30/12</f>
        <v>0.1388888888888889</v>
      </c>
      <c r="F20" s="8" t="s">
        <v>86</v>
      </c>
      <c r="G20" s="8">
        <v>695</v>
      </c>
      <c r="H20" s="10"/>
      <c r="I20" s="10" t="s">
        <v>91</v>
      </c>
    </row>
    <row r="21" spans="3:12" ht="28" hidden="1" outlineLevel="1" x14ac:dyDescent="0.15">
      <c r="C21" s="5" t="s">
        <v>89</v>
      </c>
      <c r="D21" s="6">
        <v>45449</v>
      </c>
      <c r="E21" s="7">
        <f>($F$6-D21)/30/12</f>
        <v>0.125</v>
      </c>
      <c r="F21" s="8" t="s">
        <v>86</v>
      </c>
      <c r="G21" s="8"/>
      <c r="H21" s="10"/>
      <c r="I21" s="10" t="s">
        <v>90</v>
      </c>
    </row>
    <row r="22" spans="3:12" ht="15" hidden="1" customHeight="1" outlineLevel="1" x14ac:dyDescent="0.15">
      <c r="C22" s="34" t="s">
        <v>92</v>
      </c>
      <c r="D22" s="35">
        <f>D20+91</f>
        <v>45535</v>
      </c>
      <c r="E22" s="7"/>
      <c r="F22" s="8"/>
      <c r="G22" s="8"/>
      <c r="H22" s="10"/>
      <c r="I22" s="10"/>
    </row>
    <row r="23" spans="3:12" ht="15" hidden="1" customHeight="1" outlineLevel="1" x14ac:dyDescent="0.15">
      <c r="C23" s="34" t="s">
        <v>93</v>
      </c>
      <c r="D23" s="35">
        <f>D21+91</f>
        <v>45540</v>
      </c>
      <c r="E23" s="7"/>
      <c r="F23" s="8"/>
      <c r="G23" s="8"/>
      <c r="H23" s="10"/>
      <c r="I23" s="10"/>
    </row>
    <row r="24" spans="3:12" ht="15" hidden="1" customHeight="1" outlineLevel="1" x14ac:dyDescent="0.15">
      <c r="C24" s="34" t="s">
        <v>96</v>
      </c>
      <c r="D24" s="35"/>
      <c r="E24" s="7"/>
      <c r="F24" s="8"/>
      <c r="G24" s="8"/>
      <c r="H24" s="10"/>
      <c r="I24" s="10" t="s">
        <v>97</v>
      </c>
    </row>
    <row r="25" spans="3:12" ht="15" hidden="1" customHeight="1" outlineLevel="1" x14ac:dyDescent="0.15">
      <c r="C25" s="34" t="s">
        <v>68</v>
      </c>
      <c r="D25" s="35"/>
      <c r="E25" s="7"/>
      <c r="F25" s="8"/>
      <c r="G25" s="8"/>
      <c r="H25" s="10"/>
      <c r="I25" s="10"/>
    </row>
    <row r="26" spans="3:12" ht="15" hidden="1" customHeight="1" outlineLevel="1" x14ac:dyDescent="0.15">
      <c r="C26" s="34" t="s">
        <v>69</v>
      </c>
      <c r="D26" s="35"/>
      <c r="E26" s="7"/>
      <c r="F26" s="8"/>
      <c r="G26" s="8"/>
      <c r="H26" s="10"/>
      <c r="I26" s="10"/>
    </row>
    <row r="27" spans="3:12" ht="15" hidden="1" customHeight="1" outlineLevel="1" x14ac:dyDescent="0.15">
      <c r="C27" s="41" t="s">
        <v>30</v>
      </c>
      <c r="D27" s="42">
        <v>44988</v>
      </c>
      <c r="E27" s="43"/>
      <c r="F27" s="44"/>
      <c r="G27" s="44"/>
      <c r="H27" s="45"/>
      <c r="I27" s="45" t="s">
        <v>94</v>
      </c>
      <c r="J27" s="84"/>
      <c r="K27" s="84"/>
    </row>
    <row r="28" spans="3:12" ht="15" hidden="1" customHeight="1" outlineLevel="1" x14ac:dyDescent="0.15">
      <c r="C28" s="5"/>
      <c r="F28" s="27"/>
      <c r="G28" s="27"/>
    </row>
    <row r="29" spans="3:12" ht="15" hidden="1" customHeight="1" outlineLevel="1" x14ac:dyDescent="0.15">
      <c r="C29" s="28" t="s">
        <v>47</v>
      </c>
      <c r="D29" s="29"/>
      <c r="E29" s="29"/>
      <c r="F29" s="30"/>
      <c r="G29" s="30"/>
      <c r="H29" s="31"/>
      <c r="I29" s="31"/>
      <c r="J29" s="32"/>
      <c r="K29" s="32"/>
    </row>
    <row r="30" spans="3:12" ht="15" hidden="1" customHeight="1" outlineLevel="1" x14ac:dyDescent="0.15">
      <c r="C30" s="5" t="s">
        <v>48</v>
      </c>
      <c r="D30" s="6">
        <v>45156</v>
      </c>
      <c r="E30" s="7">
        <f>($F$6-D30)/30/12</f>
        <v>0.93888888888888899</v>
      </c>
      <c r="F30" s="8">
        <v>2500</v>
      </c>
      <c r="G30" s="8">
        <v>0</v>
      </c>
      <c r="I30" s="10" t="s">
        <v>53</v>
      </c>
      <c r="L30" s="16">
        <f>1*(D30&gt;=EDATE($F$6,-24))</f>
        <v>1</v>
      </c>
    </row>
    <row r="31" spans="3:12" ht="15" hidden="1" customHeight="1" outlineLevel="1" x14ac:dyDescent="0.15">
      <c r="C31" s="5"/>
      <c r="F31" s="27"/>
      <c r="G31" s="27"/>
    </row>
    <row r="32" spans="3:12" ht="15" hidden="1" customHeight="1" outlineLevel="1" x14ac:dyDescent="0.15">
      <c r="C32" s="28" t="s">
        <v>45</v>
      </c>
      <c r="D32" s="29"/>
      <c r="E32" s="29"/>
      <c r="F32" s="30"/>
      <c r="G32" s="30"/>
      <c r="H32" s="31"/>
      <c r="I32" s="31"/>
      <c r="J32" s="32"/>
      <c r="K32" s="32"/>
    </row>
    <row r="33" spans="3:12" ht="15" hidden="1" customHeight="1" outlineLevel="1" x14ac:dyDescent="0.15">
      <c r="C33" s="36" t="s">
        <v>35</v>
      </c>
      <c r="D33" s="37"/>
      <c r="F33" s="27"/>
      <c r="G33" s="27"/>
      <c r="I33" s="10" t="s">
        <v>95</v>
      </c>
    </row>
    <row r="34" spans="3:12" ht="15" hidden="1" customHeight="1" outlineLevel="1" x14ac:dyDescent="0.15">
      <c r="C34" s="5"/>
      <c r="F34" s="27"/>
      <c r="G34" s="27"/>
    </row>
    <row r="35" spans="3:12" ht="15" hidden="1" customHeight="1" outlineLevel="1" x14ac:dyDescent="0.15">
      <c r="C35" s="28" t="s">
        <v>32</v>
      </c>
      <c r="D35" s="29"/>
      <c r="E35" s="29"/>
      <c r="F35" s="30"/>
      <c r="G35" s="30"/>
      <c r="H35" s="31"/>
      <c r="I35" s="31"/>
      <c r="J35" s="32"/>
      <c r="K35" s="32"/>
    </row>
    <row r="36" spans="3:12" ht="15" hidden="1" customHeight="1" outlineLevel="1" x14ac:dyDescent="0.15">
      <c r="C36" s="5" t="s">
        <v>57</v>
      </c>
      <c r="D36" s="6">
        <v>45170</v>
      </c>
      <c r="E36" s="7">
        <f>($F$6-D36)/30/12</f>
        <v>0.9</v>
      </c>
      <c r="F36" s="8">
        <v>19000</v>
      </c>
      <c r="G36" s="8">
        <v>95</v>
      </c>
      <c r="I36" s="10" t="s">
        <v>58</v>
      </c>
      <c r="L36" s="16">
        <f>1*(D36&gt;=EDATE($F$6,-24))</f>
        <v>1</v>
      </c>
    </row>
    <row r="37" spans="3:12" ht="15" hidden="1" customHeight="1" outlineLevel="1" x14ac:dyDescent="0.15">
      <c r="C37" s="5" t="s">
        <v>70</v>
      </c>
      <c r="D37" s="6">
        <v>45373</v>
      </c>
      <c r="E37" s="7">
        <f>($F$6-D37)/30/12</f>
        <v>0.33611111111111108</v>
      </c>
      <c r="F37" s="8">
        <v>6000</v>
      </c>
      <c r="G37" s="8">
        <v>95</v>
      </c>
      <c r="I37" s="10"/>
    </row>
    <row r="38" spans="3:12" ht="15" hidden="1" customHeight="1" outlineLevel="1" x14ac:dyDescent="0.15">
      <c r="C38" s="5" t="s">
        <v>70</v>
      </c>
      <c r="D38" s="6">
        <v>45456</v>
      </c>
      <c r="E38" s="7">
        <f>($F$6-D38)/30/12</f>
        <v>0.10555555555555556</v>
      </c>
      <c r="F38" s="8">
        <v>6000</v>
      </c>
      <c r="G38" s="8">
        <v>95</v>
      </c>
      <c r="I38" s="10"/>
    </row>
    <row r="39" spans="3:12" ht="15" hidden="1" customHeight="1" outlineLevel="1" x14ac:dyDescent="0.15">
      <c r="C39" s="36" t="s">
        <v>34</v>
      </c>
      <c r="D39" s="37">
        <f>D38+75</f>
        <v>45531</v>
      </c>
      <c r="F39" s="27"/>
      <c r="G39" s="27"/>
    </row>
    <row r="40" spans="3:12" ht="15" hidden="1" customHeight="1" outlineLevel="1" x14ac:dyDescent="0.15">
      <c r="C40" s="5"/>
      <c r="D40" s="67"/>
      <c r="F40" s="27"/>
      <c r="G40" s="27"/>
    </row>
    <row r="41" spans="3:12" ht="15" hidden="1" customHeight="1" outlineLevel="1" x14ac:dyDescent="0.15">
      <c r="C41" s="28" t="s">
        <v>87</v>
      </c>
      <c r="D41" s="29"/>
      <c r="E41" s="29"/>
      <c r="F41" s="30"/>
      <c r="G41" s="30"/>
      <c r="H41" s="31"/>
      <c r="I41" s="31"/>
      <c r="J41" s="32"/>
      <c r="K41" s="32"/>
    </row>
    <row r="42" spans="3:12" ht="15" hidden="1" customHeight="1" outlineLevel="1" x14ac:dyDescent="0.15">
      <c r="C42" s="36" t="s">
        <v>88</v>
      </c>
      <c r="D42" s="37">
        <f>EDATE(D16,36)</f>
        <v>45928</v>
      </c>
      <c r="F42" s="27"/>
      <c r="G42" s="27"/>
      <c r="I42" s="10" t="s">
        <v>60</v>
      </c>
    </row>
    <row r="43" spans="3:12" ht="15" hidden="1" customHeight="1" outlineLevel="1" x14ac:dyDescent="0.15">
      <c r="C43" s="5"/>
      <c r="F43" s="27"/>
      <c r="G43" s="27"/>
    </row>
    <row r="44" spans="3:12" ht="15" hidden="1" customHeight="1" outlineLevel="1" x14ac:dyDescent="0.15">
      <c r="C44" s="28" t="s">
        <v>46</v>
      </c>
      <c r="D44" s="29"/>
      <c r="E44" s="29"/>
      <c r="F44" s="30"/>
      <c r="G44" s="30"/>
      <c r="H44" s="31"/>
      <c r="I44" s="31"/>
      <c r="J44" s="32"/>
      <c r="K44" s="32"/>
    </row>
    <row r="45" spans="3:12" ht="15" hidden="1" customHeight="1" outlineLevel="1" x14ac:dyDescent="0.15">
      <c r="C45" s="36" t="s">
        <v>49</v>
      </c>
      <c r="D45" s="37">
        <v>45170</v>
      </c>
      <c r="F45" s="27"/>
      <c r="G45" s="27"/>
      <c r="I45" s="10" t="s">
        <v>60</v>
      </c>
    </row>
    <row r="46" spans="3:12" ht="15" hidden="1" customHeight="1" outlineLevel="1" x14ac:dyDescent="0.15">
      <c r="C46" s="5"/>
      <c r="F46" s="27"/>
      <c r="G46" s="27"/>
    </row>
    <row r="47" spans="3:12" ht="15" hidden="1" customHeight="1" outlineLevel="1" x14ac:dyDescent="0.15">
      <c r="C47" s="53" t="s">
        <v>55</v>
      </c>
      <c r="D47" s="54"/>
      <c r="E47" s="66">
        <f>AVERAGE(E16:E45)</f>
        <v>0.80722222222222229</v>
      </c>
      <c r="F47" s="55">
        <f>SUM(F45,F36:F39,F33,F30,F16:F25)</f>
        <v>62500</v>
      </c>
      <c r="G47" s="55">
        <f>SUM(G45,G36:G39,G33,G30,G16:G25)</f>
        <v>1075</v>
      </c>
      <c r="H47" s="56"/>
      <c r="I47" s="56"/>
      <c r="J47" s="57"/>
      <c r="K47" s="85"/>
    </row>
    <row r="48" spans="3:12" ht="15" hidden="1" customHeight="1" outlineLevel="1" x14ac:dyDescent="0.15">
      <c r="C48" s="58" t="s">
        <v>26</v>
      </c>
      <c r="D48" s="59">
        <f>184000/1.3</f>
        <v>141538.46153846153</v>
      </c>
      <c r="E48" s="60"/>
      <c r="F48" s="61">
        <f>F47/D48</f>
        <v>0.44157608695652178</v>
      </c>
      <c r="G48" s="62"/>
      <c r="H48" s="63"/>
      <c r="I48" s="63"/>
      <c r="J48" s="64"/>
      <c r="K48" s="64"/>
    </row>
    <row r="49" spans="3:12" ht="15" customHeight="1" collapsed="1" x14ac:dyDescent="0.15">
      <c r="C49" s="5"/>
      <c r="F49" s="27"/>
      <c r="G49" s="27"/>
    </row>
    <row r="50" spans="3:12" ht="15" customHeight="1" x14ac:dyDescent="0.15">
      <c r="C50" s="38" t="s">
        <v>15</v>
      </c>
      <c r="D50" s="39"/>
      <c r="E50" s="39"/>
      <c r="F50" s="25"/>
      <c r="G50" s="25"/>
      <c r="H50" s="26"/>
      <c r="I50" s="26"/>
      <c r="J50" s="24" t="str">
        <f>" "</f>
        <v xml:space="preserve"> </v>
      </c>
      <c r="K50" s="24"/>
    </row>
    <row r="51" spans="3:12" ht="15" customHeight="1" outlineLevel="1" x14ac:dyDescent="0.15">
      <c r="C51" s="5"/>
      <c r="F51" s="40"/>
      <c r="G51" s="8"/>
    </row>
    <row r="52" spans="3:12" ht="15" customHeight="1" outlineLevel="1" x14ac:dyDescent="0.15">
      <c r="C52" s="28" t="s">
        <v>12</v>
      </c>
      <c r="D52" s="29"/>
      <c r="E52" s="29"/>
      <c r="F52" s="30"/>
      <c r="G52" s="30"/>
      <c r="H52" s="31"/>
      <c r="I52" s="31"/>
      <c r="J52" s="32"/>
      <c r="K52" s="32"/>
    </row>
    <row r="53" spans="3:12" s="86" customFormat="1" ht="15" customHeight="1" outlineLevel="1" x14ac:dyDescent="0.15">
      <c r="C53" s="87" t="s">
        <v>105</v>
      </c>
      <c r="D53" s="88">
        <v>44626</v>
      </c>
      <c r="E53" s="89">
        <f t="shared" ref="E53" si="2">($F$6-D53)/30/12</f>
        <v>2.411111111111111</v>
      </c>
      <c r="F53" s="90"/>
      <c r="G53" s="90" t="s">
        <v>100</v>
      </c>
      <c r="H53" s="91"/>
      <c r="I53" s="92" t="s">
        <v>110</v>
      </c>
      <c r="J53" s="86" t="s">
        <v>111</v>
      </c>
      <c r="L53" s="93"/>
    </row>
    <row r="54" spans="3:12" ht="15" customHeight="1" outlineLevel="1" x14ac:dyDescent="0.15">
      <c r="C54" s="5" t="s">
        <v>114</v>
      </c>
      <c r="D54" s="6">
        <v>45484</v>
      </c>
      <c r="E54" s="7">
        <f t="shared" ref="E54:E58" si="3">($F$6-D54)/30/12</f>
        <v>2.7777777777777776E-2</v>
      </c>
      <c r="F54" s="8"/>
      <c r="G54" s="8" t="s">
        <v>100</v>
      </c>
      <c r="I54" s="10" t="s">
        <v>113</v>
      </c>
      <c r="J54" s="15" t="s">
        <v>112</v>
      </c>
    </row>
    <row r="55" spans="3:12" ht="15" customHeight="1" outlineLevel="1" x14ac:dyDescent="0.15">
      <c r="C55" s="5" t="s">
        <v>106</v>
      </c>
      <c r="D55" s="6">
        <v>44904</v>
      </c>
      <c r="E55" s="7">
        <f t="shared" si="3"/>
        <v>1.6388888888888891</v>
      </c>
      <c r="F55" s="8">
        <v>5000</v>
      </c>
      <c r="G55" s="8" t="s">
        <v>102</v>
      </c>
      <c r="I55" s="10"/>
      <c r="K55" s="15" t="s">
        <v>103</v>
      </c>
    </row>
    <row r="56" spans="3:12" ht="15" customHeight="1" outlineLevel="1" x14ac:dyDescent="0.15">
      <c r="C56" s="5" t="s">
        <v>107</v>
      </c>
      <c r="D56" s="6">
        <v>44932</v>
      </c>
      <c r="E56" s="7">
        <f t="shared" si="3"/>
        <v>1.5611111111111111</v>
      </c>
      <c r="F56" s="8">
        <v>12800</v>
      </c>
      <c r="G56" s="8">
        <f>12.99*12</f>
        <v>155.88</v>
      </c>
      <c r="I56" s="10" t="s">
        <v>115</v>
      </c>
    </row>
    <row r="57" spans="3:12" s="94" customFormat="1" ht="15" customHeight="1" outlineLevel="1" x14ac:dyDescent="0.15">
      <c r="C57" s="95" t="s">
        <v>108</v>
      </c>
      <c r="D57" s="96">
        <v>45457</v>
      </c>
      <c r="E57" s="7">
        <f t="shared" si="3"/>
        <v>0.10277777777777779</v>
      </c>
      <c r="F57" s="97"/>
      <c r="G57" s="97">
        <v>199</v>
      </c>
      <c r="H57" s="98"/>
      <c r="I57" s="99" t="s">
        <v>116</v>
      </c>
      <c r="J57" s="100"/>
      <c r="K57" s="100"/>
      <c r="L57" s="101"/>
    </row>
    <row r="58" spans="3:12" s="94" customFormat="1" ht="15" customHeight="1" outlineLevel="1" x14ac:dyDescent="0.15">
      <c r="C58" s="95" t="s">
        <v>109</v>
      </c>
      <c r="D58" s="96">
        <v>45126</v>
      </c>
      <c r="E58" s="7">
        <f t="shared" si="3"/>
        <v>1.0222222222222224</v>
      </c>
      <c r="F58" s="97"/>
      <c r="G58" s="97">
        <v>99</v>
      </c>
      <c r="H58" s="98"/>
      <c r="I58" s="99" t="s">
        <v>104</v>
      </c>
      <c r="J58" s="100"/>
      <c r="K58" s="100"/>
      <c r="L58" s="101"/>
    </row>
    <row r="59" spans="3:12" ht="15" hidden="1" customHeight="1" outlineLevel="2" x14ac:dyDescent="0.15">
      <c r="C59" s="41" t="s">
        <v>7</v>
      </c>
      <c r="D59" s="42">
        <v>44648</v>
      </c>
      <c r="E59" s="43"/>
      <c r="F59" s="44"/>
      <c r="G59" s="44"/>
      <c r="H59" s="45" t="s">
        <v>51</v>
      </c>
      <c r="I59" s="45"/>
      <c r="J59" s="10"/>
      <c r="K59" s="10"/>
    </row>
    <row r="60" spans="3:12" ht="14" hidden="1" outlineLevel="2" x14ac:dyDescent="0.15">
      <c r="C60" s="41" t="s">
        <v>7</v>
      </c>
      <c r="D60" s="42">
        <v>44709</v>
      </c>
      <c r="E60" s="7"/>
      <c r="F60" s="8"/>
      <c r="G60" s="8"/>
      <c r="H60" s="45" t="s">
        <v>75</v>
      </c>
    </row>
    <row r="61" spans="3:12" ht="15" customHeight="1" outlineLevel="1" collapsed="1" x14ac:dyDescent="0.15">
      <c r="C61" s="5"/>
      <c r="F61" s="40"/>
      <c r="G61" s="8"/>
    </row>
    <row r="62" spans="3:12" ht="15" customHeight="1" outlineLevel="1" x14ac:dyDescent="0.15">
      <c r="C62" s="28" t="s">
        <v>50</v>
      </c>
      <c r="D62" s="29"/>
      <c r="E62" s="29"/>
      <c r="F62" s="30"/>
      <c r="G62" s="30"/>
      <c r="H62" s="31"/>
      <c r="I62" s="31"/>
      <c r="J62" s="32"/>
      <c r="K62" s="32"/>
    </row>
    <row r="63" spans="3:12" ht="15" customHeight="1" outlineLevel="1" x14ac:dyDescent="0.15">
      <c r="C63" s="15" t="s">
        <v>149</v>
      </c>
      <c r="D63" s="112">
        <v>45218</v>
      </c>
      <c r="E63" s="102">
        <f>($F$6-D63)/30/12</f>
        <v>0.76666666666666661</v>
      </c>
      <c r="F63" s="16">
        <v>500</v>
      </c>
      <c r="G63" s="16">
        <v>0</v>
      </c>
      <c r="H63" s="113" t="s">
        <v>150</v>
      </c>
    </row>
    <row r="64" spans="3:12" ht="14" outlineLevel="1" x14ac:dyDescent="0.15">
      <c r="C64" s="5" t="s">
        <v>121</v>
      </c>
      <c r="D64" s="6">
        <v>45320</v>
      </c>
      <c r="E64" s="7">
        <f t="shared" ref="E64" si="4">($F$6-D64)/30/12</f>
        <v>0.48333333333333334</v>
      </c>
      <c r="F64" s="8">
        <v>5000</v>
      </c>
      <c r="G64" s="8"/>
      <c r="H64" s="103" t="s">
        <v>122</v>
      </c>
      <c r="I64" s="10"/>
    </row>
    <row r="65" spans="2:12" ht="15" customHeight="1" outlineLevel="2" x14ac:dyDescent="0.15">
      <c r="B65" s="5"/>
      <c r="C65" s="41" t="s">
        <v>37</v>
      </c>
      <c r="D65" s="42">
        <v>44669</v>
      </c>
      <c r="E65" s="43"/>
      <c r="F65" s="44"/>
      <c r="G65" s="44"/>
      <c r="H65" s="45" t="s">
        <v>41</v>
      </c>
    </row>
    <row r="66" spans="2:12" ht="14" outlineLevel="2" x14ac:dyDescent="0.15">
      <c r="C66" s="41" t="s">
        <v>37</v>
      </c>
      <c r="D66" s="42">
        <v>44817</v>
      </c>
      <c r="E66" s="7"/>
      <c r="F66" s="8"/>
      <c r="G66" s="8"/>
      <c r="H66" s="45" t="s">
        <v>59</v>
      </c>
      <c r="I66" s="10"/>
    </row>
    <row r="67" spans="2:12" ht="14" outlineLevel="2" x14ac:dyDescent="0.15">
      <c r="B67" s="5"/>
      <c r="C67" s="41" t="s">
        <v>37</v>
      </c>
      <c r="D67" s="42">
        <v>44817</v>
      </c>
      <c r="E67" s="43"/>
      <c r="F67" s="44"/>
      <c r="G67" s="44"/>
      <c r="H67" s="45" t="s">
        <v>56</v>
      </c>
      <c r="I67" s="10"/>
    </row>
    <row r="68" spans="2:12" ht="14" outlineLevel="2" x14ac:dyDescent="0.15">
      <c r="C68" s="41" t="s">
        <v>37</v>
      </c>
      <c r="D68" s="42">
        <v>45046</v>
      </c>
      <c r="E68" s="7"/>
      <c r="F68" s="8"/>
      <c r="G68" s="8">
        <v>0</v>
      </c>
      <c r="H68" s="45" t="s">
        <v>74</v>
      </c>
      <c r="I68" s="10"/>
    </row>
    <row r="69" spans="2:12" ht="15" customHeight="1" outlineLevel="1" x14ac:dyDescent="0.15">
      <c r="D69" s="6"/>
      <c r="F69" s="8"/>
      <c r="G69" s="8"/>
    </row>
    <row r="70" spans="2:12" ht="15" customHeight="1" outlineLevel="1" x14ac:dyDescent="0.15">
      <c r="C70" s="28" t="s">
        <v>11</v>
      </c>
      <c r="D70" s="29"/>
      <c r="E70" s="29"/>
      <c r="F70" s="30"/>
      <c r="G70" s="30"/>
      <c r="H70" s="31"/>
      <c r="I70" s="31"/>
      <c r="J70" s="32"/>
      <c r="K70" s="32"/>
    </row>
    <row r="71" spans="2:12" ht="15" customHeight="1" outlineLevel="1" x14ac:dyDescent="0.15">
      <c r="C71" s="5" t="s">
        <v>143</v>
      </c>
      <c r="D71" s="6">
        <v>43143</v>
      </c>
      <c r="E71" s="7" t="s">
        <v>144</v>
      </c>
      <c r="F71" s="8" t="s">
        <v>144</v>
      </c>
      <c r="G71" s="8">
        <v>0</v>
      </c>
      <c r="I71" s="11" t="s">
        <v>145</v>
      </c>
    </row>
    <row r="72" spans="2:12" ht="15" hidden="1" customHeight="1" outlineLevel="2" x14ac:dyDescent="0.15">
      <c r="C72" s="41" t="s">
        <v>36</v>
      </c>
      <c r="D72" s="42">
        <v>44721</v>
      </c>
      <c r="E72" s="7">
        <f t="shared" ref="E72:E73" si="5">($F$6-D72)/30/12</f>
        <v>2.1472222222222221</v>
      </c>
      <c r="F72" s="44"/>
      <c r="G72" s="44">
        <v>0</v>
      </c>
      <c r="H72" s="45" t="s">
        <v>44</v>
      </c>
      <c r="I72" s="45"/>
    </row>
    <row r="73" spans="2:12" ht="15" customHeight="1" outlineLevel="2" x14ac:dyDescent="0.15">
      <c r="C73" s="5" t="s">
        <v>133</v>
      </c>
      <c r="D73" s="67">
        <v>44501</v>
      </c>
      <c r="E73" s="106">
        <f t="shared" si="5"/>
        <v>2.7583333333333333</v>
      </c>
      <c r="F73" s="27">
        <v>15000</v>
      </c>
      <c r="G73" s="27">
        <v>0</v>
      </c>
      <c r="H73" s="10"/>
      <c r="I73" s="10" t="s">
        <v>134</v>
      </c>
    </row>
    <row r="74" spans="2:12" ht="15" customHeight="1" outlineLevel="1" x14ac:dyDescent="0.15">
      <c r="C74" s="5"/>
      <c r="F74" s="8"/>
      <c r="G74" s="8"/>
    </row>
    <row r="75" spans="2:12" ht="15" customHeight="1" outlineLevel="1" x14ac:dyDescent="0.15">
      <c r="C75" s="28" t="s">
        <v>10</v>
      </c>
      <c r="D75" s="29"/>
      <c r="E75" s="29"/>
      <c r="F75" s="30"/>
      <c r="G75" s="30"/>
      <c r="H75" s="31"/>
      <c r="I75" s="31"/>
      <c r="J75" s="32"/>
      <c r="K75" s="32"/>
    </row>
    <row r="76" spans="2:12" ht="84" outlineLevel="1" x14ac:dyDescent="0.15">
      <c r="C76" s="1" t="s">
        <v>72</v>
      </c>
      <c r="D76" s="2">
        <v>41447</v>
      </c>
      <c r="E76" s="3">
        <f t="shared" ref="E76:E78" si="6">($F$6-D76)/30/12</f>
        <v>11.241666666666667</v>
      </c>
      <c r="F76" s="4"/>
      <c r="G76" s="4">
        <v>0</v>
      </c>
      <c r="H76" s="9" t="s">
        <v>73</v>
      </c>
      <c r="I76" s="9" t="s">
        <v>76</v>
      </c>
      <c r="J76" s="71"/>
    </row>
    <row r="77" spans="2:12" s="72" customFormat="1" ht="15" customHeight="1" outlineLevel="1" x14ac:dyDescent="0.15">
      <c r="C77" s="73" t="s">
        <v>72</v>
      </c>
      <c r="D77" s="6">
        <v>45399</v>
      </c>
      <c r="E77" s="7">
        <f t="shared" si="6"/>
        <v>0.2638888888888889</v>
      </c>
      <c r="F77" s="8"/>
      <c r="G77" s="8">
        <v>0</v>
      </c>
      <c r="H77" s="74" t="s">
        <v>98</v>
      </c>
      <c r="I77" s="75"/>
      <c r="L77" s="76"/>
    </row>
    <row r="78" spans="2:12" ht="70" outlineLevel="1" x14ac:dyDescent="0.15">
      <c r="C78" s="5" t="s">
        <v>62</v>
      </c>
      <c r="D78" s="6">
        <v>44508</v>
      </c>
      <c r="E78" s="7">
        <f t="shared" si="6"/>
        <v>2.7388888888888889</v>
      </c>
      <c r="F78" s="8"/>
      <c r="G78" s="8">
        <v>0</v>
      </c>
      <c r="H78" s="11" t="s">
        <v>63</v>
      </c>
      <c r="I78" s="10" t="s">
        <v>64</v>
      </c>
    </row>
    <row r="79" spans="2:12" ht="15" customHeight="1" outlineLevel="1" x14ac:dyDescent="0.15">
      <c r="C79" s="5" t="s">
        <v>135</v>
      </c>
      <c r="D79" s="6">
        <v>45184</v>
      </c>
      <c r="E79" s="7">
        <f>($F$6-D79)/30/12</f>
        <v>0.86111111111111116</v>
      </c>
      <c r="F79" s="8">
        <v>1000</v>
      </c>
      <c r="G79" s="8">
        <v>0</v>
      </c>
      <c r="I79" s="10" t="s">
        <v>134</v>
      </c>
    </row>
    <row r="80" spans="2:12" ht="15" hidden="1" customHeight="1" outlineLevel="2" x14ac:dyDescent="0.15">
      <c r="C80" s="41" t="s">
        <v>6</v>
      </c>
      <c r="D80" s="42">
        <v>44915</v>
      </c>
      <c r="E80" s="43"/>
      <c r="F80" s="44"/>
      <c r="G80" s="44"/>
      <c r="H80" s="45" t="s">
        <v>42</v>
      </c>
    </row>
    <row r="81" spans="3:12" ht="15" hidden="1" customHeight="1" outlineLevel="2" x14ac:dyDescent="0.15">
      <c r="C81" s="5" t="s">
        <v>125</v>
      </c>
      <c r="D81" s="67">
        <v>45061</v>
      </c>
      <c r="E81" s="106">
        <f>($F$6-D81)/30/12</f>
        <v>1.2027777777777777</v>
      </c>
      <c r="F81" s="27">
        <v>1500</v>
      </c>
      <c r="G81" s="27"/>
      <c r="H81" s="10" t="s">
        <v>126</v>
      </c>
      <c r="I81" s="11" t="s">
        <v>127</v>
      </c>
    </row>
    <row r="82" spans="3:12" ht="15" customHeight="1" outlineLevel="1" collapsed="1" x14ac:dyDescent="0.15">
      <c r="F82" s="8"/>
      <c r="G82" s="8"/>
    </row>
    <row r="83" spans="3:12" ht="15" customHeight="1" outlineLevel="1" x14ac:dyDescent="0.15">
      <c r="C83" s="28" t="s">
        <v>77</v>
      </c>
      <c r="D83" s="29"/>
      <c r="E83" s="29"/>
      <c r="F83" s="30"/>
      <c r="G83" s="30"/>
      <c r="H83" s="31"/>
      <c r="I83" s="31"/>
      <c r="J83" s="32"/>
      <c r="K83" s="32"/>
    </row>
    <row r="84" spans="3:12" ht="15" customHeight="1" outlineLevel="1" x14ac:dyDescent="0.15">
      <c r="C84" s="5" t="s">
        <v>79</v>
      </c>
      <c r="D84" s="6">
        <v>45408</v>
      </c>
      <c r="E84" s="7">
        <f>($F$6-D84)/30/12</f>
        <v>0.2388888888888889</v>
      </c>
      <c r="F84" s="8"/>
      <c r="G84" s="8">
        <v>132</v>
      </c>
      <c r="I84" s="10" t="s">
        <v>80</v>
      </c>
    </row>
    <row r="85" spans="3:12" ht="15" customHeight="1" outlineLevel="1" x14ac:dyDescent="0.15">
      <c r="D85" s="6"/>
      <c r="F85" s="46"/>
      <c r="G85" s="46"/>
    </row>
    <row r="86" spans="3:12" ht="15" customHeight="1" outlineLevel="1" x14ac:dyDescent="0.15">
      <c r="C86" s="28" t="s">
        <v>13</v>
      </c>
      <c r="D86" s="29"/>
      <c r="E86" s="29"/>
      <c r="F86" s="30"/>
      <c r="G86" s="30"/>
      <c r="H86" s="31"/>
      <c r="I86" s="31"/>
      <c r="J86" s="32"/>
      <c r="K86" s="32"/>
    </row>
    <row r="87" spans="3:12" ht="15" customHeight="1" outlineLevel="1" x14ac:dyDescent="0.15">
      <c r="C87" s="5" t="s">
        <v>147</v>
      </c>
      <c r="D87" s="67">
        <v>44502</v>
      </c>
      <c r="E87" s="106">
        <f>($F$6-D87)/30/12</f>
        <v>2.755555555555556</v>
      </c>
      <c r="F87" s="27">
        <v>5000</v>
      </c>
      <c r="G87" s="27"/>
      <c r="H87" s="10"/>
      <c r="I87" s="11" t="s">
        <v>148</v>
      </c>
    </row>
    <row r="88" spans="3:12" ht="15" customHeight="1" outlineLevel="1" x14ac:dyDescent="0.15">
      <c r="D88" s="6"/>
      <c r="F88" s="46"/>
      <c r="G88" s="46"/>
    </row>
    <row r="89" spans="3:12" ht="15" customHeight="1" outlineLevel="1" x14ac:dyDescent="0.15">
      <c r="C89" s="28" t="s">
        <v>9</v>
      </c>
      <c r="D89" s="29"/>
      <c r="E89" s="29"/>
      <c r="F89" s="30"/>
      <c r="G89" s="30"/>
      <c r="H89" s="31"/>
      <c r="I89" s="31"/>
      <c r="J89" s="32"/>
      <c r="K89" s="32"/>
    </row>
    <row r="90" spans="3:12" ht="15" customHeight="1" outlineLevel="1" x14ac:dyDescent="0.15">
      <c r="C90" s="1" t="s">
        <v>128</v>
      </c>
      <c r="D90" s="2">
        <v>44324</v>
      </c>
      <c r="E90" s="3">
        <f>($F$6-D90)/30/12</f>
        <v>3.25</v>
      </c>
      <c r="F90" s="4">
        <v>1000</v>
      </c>
      <c r="G90" s="4">
        <v>0</v>
      </c>
      <c r="H90" s="47"/>
      <c r="I90" s="47"/>
      <c r="J90" s="71"/>
    </row>
    <row r="91" spans="3:12" ht="15" customHeight="1" outlineLevel="1" x14ac:dyDescent="0.15">
      <c r="C91" s="5" t="s">
        <v>137</v>
      </c>
      <c r="D91" s="6">
        <v>45167</v>
      </c>
      <c r="E91" s="3">
        <f>($F$6-D91)/30/12</f>
        <v>0.90833333333333333</v>
      </c>
      <c r="F91" s="8">
        <v>1000</v>
      </c>
      <c r="G91" s="8"/>
      <c r="I91" s="11" t="s">
        <v>136</v>
      </c>
    </row>
    <row r="92" spans="3:12" ht="15" customHeight="1" outlineLevel="1" x14ac:dyDescent="0.15">
      <c r="C92" s="5" t="s">
        <v>146</v>
      </c>
      <c r="D92" s="6">
        <v>44502</v>
      </c>
      <c r="E92" s="3">
        <f>($F$6-D92)/30/12</f>
        <v>2.755555555555556</v>
      </c>
      <c r="F92" s="8">
        <v>10000</v>
      </c>
      <c r="G92" s="8" t="s">
        <v>144</v>
      </c>
      <c r="I92" s="11" t="s">
        <v>134</v>
      </c>
    </row>
    <row r="93" spans="3:12" s="114" customFormat="1" ht="15" customHeight="1" outlineLevel="1" x14ac:dyDescent="0.15">
      <c r="C93" s="115" t="s">
        <v>151</v>
      </c>
      <c r="D93" s="116">
        <v>45160</v>
      </c>
      <c r="E93" s="117">
        <f>($F$6-D93)/30/12</f>
        <v>0.9277777777777777</v>
      </c>
      <c r="F93" s="118">
        <v>1000</v>
      </c>
      <c r="G93" s="118"/>
      <c r="H93" s="113" t="s">
        <v>152</v>
      </c>
      <c r="I93" s="113"/>
      <c r="L93" s="119"/>
    </row>
    <row r="94" spans="3:12" ht="15" customHeight="1" outlineLevel="1" x14ac:dyDescent="0.15">
      <c r="C94" s="5"/>
      <c r="D94" s="6"/>
      <c r="E94" s="7"/>
      <c r="F94" s="8"/>
      <c r="G94" s="8"/>
    </row>
    <row r="95" spans="3:12" ht="15" customHeight="1" outlineLevel="1" x14ac:dyDescent="0.15">
      <c r="C95" s="104" t="s">
        <v>123</v>
      </c>
      <c r="D95" s="104"/>
      <c r="E95" s="104"/>
      <c r="F95" s="104"/>
      <c r="G95" s="104"/>
      <c r="H95" s="104"/>
      <c r="I95" s="104"/>
      <c r="J95" s="104"/>
      <c r="K95" s="104"/>
    </row>
    <row r="96" spans="3:12" ht="15" customHeight="1" outlineLevel="1" x14ac:dyDescent="0.15">
      <c r="C96" s="72" t="s">
        <v>124</v>
      </c>
      <c r="D96" s="6">
        <v>43369</v>
      </c>
      <c r="E96" s="105">
        <f>($F$6-D96)/30/12</f>
        <v>5.9027777777777777</v>
      </c>
      <c r="F96" s="46">
        <v>4000</v>
      </c>
      <c r="G96" s="46"/>
      <c r="H96" s="75"/>
      <c r="I96" s="75"/>
      <c r="J96" s="72"/>
      <c r="K96" s="72"/>
    </row>
    <row r="97" spans="3:11" ht="15" customHeight="1" outlineLevel="1" x14ac:dyDescent="0.15">
      <c r="C97" s="72"/>
      <c r="D97" s="6"/>
      <c r="E97" s="105"/>
      <c r="F97" s="46"/>
      <c r="G97" s="46"/>
      <c r="H97" s="75"/>
      <c r="I97" s="75"/>
      <c r="J97" s="72"/>
      <c r="K97" s="72"/>
    </row>
    <row r="98" spans="3:11" ht="15" customHeight="1" outlineLevel="1" x14ac:dyDescent="0.15">
      <c r="C98" s="104" t="s">
        <v>138</v>
      </c>
      <c r="D98" s="107"/>
      <c r="E98" s="107"/>
      <c r="F98" s="108"/>
      <c r="G98" s="108"/>
      <c r="H98" s="109"/>
      <c r="I98" s="109"/>
      <c r="J98" s="110"/>
      <c r="K98" s="110"/>
    </row>
    <row r="99" spans="3:11" ht="15" customHeight="1" outlineLevel="1" x14ac:dyDescent="0.15">
      <c r="C99" s="73" t="s">
        <v>139</v>
      </c>
      <c r="D99" s="6">
        <v>44951</v>
      </c>
      <c r="E99" s="7">
        <f>($F$6-D99)/30/12</f>
        <v>1.5083333333333335</v>
      </c>
      <c r="F99" s="8">
        <v>5000</v>
      </c>
      <c r="G99" s="8" t="s">
        <v>129</v>
      </c>
      <c r="H99" s="75"/>
      <c r="I99" s="75" t="s">
        <v>134</v>
      </c>
      <c r="J99" s="72"/>
      <c r="K99" s="72"/>
    </row>
    <row r="100" spans="3:11" ht="15" customHeight="1" outlineLevel="1" x14ac:dyDescent="0.15">
      <c r="C100" s="73" t="s">
        <v>140</v>
      </c>
      <c r="D100" s="6">
        <v>43067</v>
      </c>
      <c r="E100" s="7">
        <f>($F$6-D100)/30/12</f>
        <v>6.7416666666666671</v>
      </c>
      <c r="F100" s="8">
        <v>7000</v>
      </c>
      <c r="G100" s="8"/>
      <c r="H100" s="111" t="s">
        <v>141</v>
      </c>
      <c r="I100" s="75" t="s">
        <v>142</v>
      </c>
      <c r="J100" s="72"/>
      <c r="K100" s="72"/>
    </row>
    <row r="101" spans="3:11" ht="15" customHeight="1" outlineLevel="1" x14ac:dyDescent="0.15">
      <c r="C101" s="72"/>
      <c r="D101" s="6"/>
      <c r="E101" s="105"/>
      <c r="F101" s="46"/>
      <c r="G101" s="46"/>
      <c r="H101" s="75"/>
      <c r="I101" s="75"/>
      <c r="J101" s="72"/>
      <c r="K101" s="72"/>
    </row>
    <row r="102" spans="3:11" ht="15" customHeight="1" outlineLevel="1" x14ac:dyDescent="0.15">
      <c r="C102" s="28" t="s">
        <v>119</v>
      </c>
      <c r="D102" s="28"/>
      <c r="E102" s="28"/>
      <c r="F102" s="28"/>
      <c r="G102" s="28"/>
      <c r="H102" s="28"/>
      <c r="I102" s="28"/>
      <c r="J102" s="28"/>
      <c r="K102" s="28"/>
    </row>
    <row r="103" spans="3:11" ht="15" customHeight="1" outlineLevel="1" x14ac:dyDescent="0.15">
      <c r="C103" s="15" t="s">
        <v>120</v>
      </c>
      <c r="D103" s="6">
        <v>44552</v>
      </c>
      <c r="E103" s="102">
        <f>($F$6-D103)/30/12</f>
        <v>2.6166666666666667</v>
      </c>
      <c r="F103" s="46">
        <v>1000</v>
      </c>
      <c r="G103" s="46"/>
    </row>
    <row r="104" spans="3:11" ht="15" customHeight="1" outlineLevel="1" x14ac:dyDescent="0.15">
      <c r="D104" s="6"/>
      <c r="F104" s="46"/>
      <c r="G104" s="46"/>
    </row>
    <row r="105" spans="3:11" ht="15" customHeight="1" outlineLevel="1" x14ac:dyDescent="0.15">
      <c r="C105" s="28" t="s">
        <v>8</v>
      </c>
      <c r="D105" s="29"/>
      <c r="E105" s="29"/>
      <c r="F105" s="30"/>
      <c r="G105" s="30"/>
      <c r="H105" s="31"/>
      <c r="I105" s="31"/>
      <c r="J105" s="32"/>
      <c r="K105" s="32"/>
    </row>
    <row r="106" spans="3:11" ht="15" customHeight="1" outlineLevel="1" x14ac:dyDescent="0.15">
      <c r="C106" s="5" t="s">
        <v>117</v>
      </c>
      <c r="D106" s="6">
        <v>44622</v>
      </c>
      <c r="E106" s="7">
        <f>($F$6-D106)/30/12</f>
        <v>2.4222222222222221</v>
      </c>
      <c r="F106" s="8">
        <v>5000</v>
      </c>
      <c r="G106" s="8">
        <v>0</v>
      </c>
      <c r="I106" s="11" t="s">
        <v>118</v>
      </c>
    </row>
    <row r="107" spans="3:11" ht="15" customHeight="1" outlineLevel="1" x14ac:dyDescent="0.15">
      <c r="C107" s="5"/>
      <c r="D107" s="6"/>
      <c r="E107" s="7"/>
      <c r="F107" s="8"/>
      <c r="G107" s="8"/>
    </row>
    <row r="108" spans="3:11" ht="15" customHeight="1" outlineLevel="1" x14ac:dyDescent="0.15">
      <c r="C108" s="104" t="s">
        <v>130</v>
      </c>
      <c r="D108" s="107"/>
      <c r="E108" s="107"/>
      <c r="F108" s="108"/>
      <c r="G108" s="108"/>
      <c r="H108" s="109"/>
      <c r="I108" s="109"/>
      <c r="J108" s="110"/>
      <c r="K108" s="110"/>
    </row>
    <row r="109" spans="3:11" ht="15" customHeight="1" outlineLevel="1" x14ac:dyDescent="0.15">
      <c r="C109" s="73" t="s">
        <v>131</v>
      </c>
      <c r="D109" s="6">
        <v>45213</v>
      </c>
      <c r="E109" s="7">
        <f>($F$6-D109)/30/12</f>
        <v>0.78055555555555556</v>
      </c>
      <c r="F109" s="8">
        <v>2000</v>
      </c>
      <c r="G109" s="8" t="s">
        <v>129</v>
      </c>
      <c r="H109" s="75"/>
      <c r="I109" s="75" t="s">
        <v>132</v>
      </c>
      <c r="J109" s="72"/>
      <c r="K109" s="72"/>
    </row>
    <row r="110" spans="3:11" ht="15" customHeight="1" outlineLevel="1" x14ac:dyDescent="0.15">
      <c r="F110" s="46"/>
      <c r="G110" s="46"/>
    </row>
    <row r="111" spans="3:11" ht="15" customHeight="1" outlineLevel="1" x14ac:dyDescent="0.15">
      <c r="C111" s="57" t="s">
        <v>25</v>
      </c>
      <c r="D111" s="65"/>
      <c r="E111" s="66">
        <f>AVERAGE(E53:E106)</f>
        <v>2.279059829059829</v>
      </c>
      <c r="F111" s="55">
        <f>SUM(F53:F106)</f>
        <v>80800</v>
      </c>
      <c r="G111" s="55">
        <f>SUM(G53:G106)</f>
        <v>585.88</v>
      </c>
      <c r="H111" s="56"/>
      <c r="I111" s="56"/>
      <c r="J111" s="57"/>
      <c r="K111" s="85"/>
    </row>
    <row r="112" spans="3:11" ht="15" customHeight="1" outlineLevel="1" x14ac:dyDescent="0.15">
      <c r="C112" s="58" t="s">
        <v>26</v>
      </c>
      <c r="D112" s="59"/>
      <c r="E112" s="60"/>
      <c r="F112" s="61" t="e">
        <f>F111/D112</f>
        <v>#DIV/0!</v>
      </c>
      <c r="G112" s="62"/>
      <c r="H112" s="63"/>
      <c r="I112" s="63"/>
      <c r="J112" s="64"/>
      <c r="K112" s="64"/>
    </row>
    <row r="113" spans="2:11" ht="15" customHeight="1" outlineLevel="1" x14ac:dyDescent="0.15">
      <c r="C113" s="80" t="s">
        <v>83</v>
      </c>
      <c r="D113" s="77" t="s">
        <v>82</v>
      </c>
      <c r="E113" s="16" t="s">
        <v>71</v>
      </c>
      <c r="F113" s="16" t="s">
        <v>39</v>
      </c>
      <c r="H113" s="16"/>
    </row>
    <row r="114" spans="2:11" ht="15" customHeight="1" outlineLevel="1" x14ac:dyDescent="0.15">
      <c r="C114" s="78" t="s">
        <v>81</v>
      </c>
      <c r="D114" s="70">
        <v>0.03</v>
      </c>
      <c r="E114" s="27">
        <f>SUM(F106,F90,F76:F78,F84,F71,F64:F64,F53:F54)</f>
        <v>11000</v>
      </c>
      <c r="F114" s="27">
        <f>E114*D114</f>
        <v>330</v>
      </c>
      <c r="G114" s="15"/>
      <c r="H114" s="27"/>
    </row>
    <row r="115" spans="2:11" ht="15" customHeight="1" outlineLevel="1" x14ac:dyDescent="0.15">
      <c r="C115" s="79" t="s">
        <v>84</v>
      </c>
      <c r="D115" s="70">
        <v>0.05</v>
      </c>
      <c r="E115" s="27">
        <f>E114</f>
        <v>11000</v>
      </c>
      <c r="F115" s="27">
        <f>E115*D115</f>
        <v>550</v>
      </c>
      <c r="G115" s="15"/>
      <c r="H115" s="27"/>
    </row>
    <row r="116" spans="2:11" ht="15" customHeight="1" outlineLevel="1" x14ac:dyDescent="0.15">
      <c r="C116" s="79" t="s">
        <v>84</v>
      </c>
      <c r="D116" s="70">
        <v>0.1</v>
      </c>
      <c r="E116" s="27">
        <f>E115</f>
        <v>11000</v>
      </c>
      <c r="F116" s="27">
        <f>E116*D116</f>
        <v>1100</v>
      </c>
      <c r="H116" s="27"/>
    </row>
    <row r="118" spans="2:11" ht="15" customHeight="1" x14ac:dyDescent="0.15">
      <c r="C118" s="38" t="s">
        <v>18</v>
      </c>
      <c r="D118" s="39"/>
      <c r="E118" s="39"/>
      <c r="F118" s="39"/>
      <c r="G118" s="39"/>
      <c r="H118" s="48"/>
      <c r="I118" s="48"/>
      <c r="J118" s="38" t="str">
        <f>" "</f>
        <v xml:space="preserve"> </v>
      </c>
      <c r="K118" s="38"/>
    </row>
    <row r="119" spans="2:11" ht="15" hidden="1" customHeight="1" outlineLevel="1" x14ac:dyDescent="0.15">
      <c r="C119" s="49" t="s">
        <v>19</v>
      </c>
      <c r="D119" s="50"/>
      <c r="E119" s="50"/>
    </row>
    <row r="120" spans="2:11" ht="15" hidden="1" customHeight="1" outlineLevel="1" x14ac:dyDescent="0.15">
      <c r="C120" s="5" t="s">
        <v>20</v>
      </c>
      <c r="F120" s="27"/>
      <c r="G120" s="27"/>
      <c r="H120" s="10"/>
      <c r="I120" s="10" t="s">
        <v>61</v>
      </c>
    </row>
    <row r="121" spans="2:11" ht="15" customHeight="1" collapsed="1" x14ac:dyDescent="0.15">
      <c r="C121" s="5"/>
      <c r="F121" s="27"/>
      <c r="G121" s="27"/>
    </row>
    <row r="122" spans="2:11" ht="15" customHeight="1" x14ac:dyDescent="0.15">
      <c r="C122" s="38" t="s">
        <v>21</v>
      </c>
      <c r="D122" s="39"/>
      <c r="E122" s="39"/>
      <c r="F122" s="39"/>
      <c r="G122" s="39"/>
      <c r="H122" s="48"/>
      <c r="I122" s="48"/>
      <c r="J122" s="38" t="str">
        <f>" "</f>
        <v xml:space="preserve"> </v>
      </c>
      <c r="K122" s="38"/>
    </row>
    <row r="123" spans="2:11" ht="15" hidden="1" customHeight="1" outlineLevel="1" x14ac:dyDescent="0.15">
      <c r="C123" s="49" t="s">
        <v>22</v>
      </c>
      <c r="D123" s="50"/>
      <c r="E123" s="50"/>
    </row>
    <row r="124" spans="2:11" ht="15" hidden="1" customHeight="1" outlineLevel="1" x14ac:dyDescent="0.15">
      <c r="C124" s="5" t="s">
        <v>23</v>
      </c>
      <c r="F124" s="27">
        <v>800</v>
      </c>
      <c r="G124" s="27">
        <v>0</v>
      </c>
      <c r="H124" s="10"/>
      <c r="I124" s="10" t="s">
        <v>24</v>
      </c>
    </row>
    <row r="125" spans="2:11" ht="15" customHeight="1" collapsed="1" x14ac:dyDescent="0.15">
      <c r="C125" s="5"/>
      <c r="F125" s="27"/>
      <c r="G125" s="27"/>
    </row>
    <row r="126" spans="2:11" ht="15" customHeight="1" x14ac:dyDescent="0.15">
      <c r="B126" s="51"/>
      <c r="C126" s="51" t="s">
        <v>43</v>
      </c>
    </row>
    <row r="127" spans="2:11" ht="15" customHeight="1" x14ac:dyDescent="0.15">
      <c r="B127" s="52">
        <f>1</f>
        <v>1</v>
      </c>
      <c r="C127" s="81"/>
    </row>
    <row r="128" spans="2:11" ht="15" customHeight="1" x14ac:dyDescent="0.15">
      <c r="B128" s="52">
        <f>+B127+1</f>
        <v>2</v>
      </c>
      <c r="C128" s="81"/>
    </row>
    <row r="129" spans="2:4" ht="15" customHeight="1" x14ac:dyDescent="0.15">
      <c r="B129" s="52">
        <f t="shared" ref="B129:B135" si="7">+B128+1</f>
        <v>3</v>
      </c>
      <c r="C129" s="81"/>
    </row>
    <row r="130" spans="2:4" ht="15" customHeight="1" x14ac:dyDescent="0.15">
      <c r="B130" s="52">
        <f t="shared" si="7"/>
        <v>4</v>
      </c>
      <c r="C130" s="81"/>
      <c r="D130" s="82"/>
    </row>
    <row r="131" spans="2:4" ht="15" customHeight="1" x14ac:dyDescent="0.15">
      <c r="B131" s="52">
        <f t="shared" si="7"/>
        <v>5</v>
      </c>
      <c r="C131" s="81"/>
    </row>
    <row r="132" spans="2:4" ht="15" customHeight="1" x14ac:dyDescent="0.15">
      <c r="B132" s="52">
        <f t="shared" si="7"/>
        <v>6</v>
      </c>
      <c r="C132" s="81"/>
    </row>
    <row r="133" spans="2:4" ht="15" customHeight="1" x14ac:dyDescent="0.15">
      <c r="B133" s="52">
        <f t="shared" si="7"/>
        <v>7</v>
      </c>
      <c r="C133" s="81"/>
    </row>
    <row r="134" spans="2:4" ht="15" customHeight="1" x14ac:dyDescent="0.15">
      <c r="B134" s="52">
        <f t="shared" si="7"/>
        <v>8</v>
      </c>
      <c r="C134" s="81"/>
    </row>
    <row r="135" spans="2:4" ht="15" customHeight="1" x14ac:dyDescent="0.15">
      <c r="B135" s="52">
        <f t="shared" si="7"/>
        <v>9</v>
      </c>
      <c r="C135" s="8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Ibrahim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Khokhar</dc:creator>
  <cp:lastModifiedBy>Ibrahim Asadullah</cp:lastModifiedBy>
  <dcterms:created xsi:type="dcterms:W3CDTF">2023-01-07T22:58:46Z</dcterms:created>
  <dcterms:modified xsi:type="dcterms:W3CDTF">2026-03-03T23:02:56Z</dcterms:modified>
</cp:coreProperties>
</file>